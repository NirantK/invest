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Gold" sheetId="2" state="visible" r:id="rId4"/>
    <sheet name="Silver" sheetId="3" state="visible" r:id="rId5"/>
    <sheet name="International" sheetId="4" state="visible" r:id="rId6"/>
    <sheet name="Stocks-India" sheetId="5" state="visible" r:id="rId7"/>
    <sheet name="MF-Debt" sheetId="6" state="visible" r:id="rId8"/>
    <sheet name="MF-Size" sheetId="7" state="visible" r:id="rId9"/>
    <sheet name="MF-LowVol" sheetId="8" state="visible" r:id="rId10"/>
    <sheet name="MF-Momentum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<sst xmlns="http://schemas.openxmlformats.org/spreadsheetml/2006/main" count="155" uniqueCount="73">
  <si>
    <t xml:space="preserve">Portfolio Summary - 2026-01-21</t>
  </si>
  <si>
    <t xml:space="preserve">Category</t>
  </si>
  <si>
    <t xml:space="preserve">Invested</t>
  </si>
  <si>
    <t xml:space="preserve">Current Value</t>
  </si>
  <si>
    <t xml:space="preserve">Overall Gain</t>
  </si>
  <si>
    <t xml:space="preserve">Overall %</t>
  </si>
  <si>
    <t xml:space="preserve">Gold (ETFs + Bonds)</t>
  </si>
  <si>
    <t xml:space="preserve">Silver</t>
  </si>
  <si>
    <t xml:space="preserve">International (US)</t>
  </si>
  <si>
    <t xml:space="preserve">Stocks - Momentum &amp; Value (India)</t>
  </si>
  <si>
    <t xml:space="preserve">MF - Debt</t>
  </si>
  <si>
    <t xml:space="preserve">MF - Size (ELSS)</t>
  </si>
  <si>
    <t xml:space="preserve">MF - Low Volatility</t>
  </si>
  <si>
    <t xml:space="preserve">MF - Momentum</t>
  </si>
  <si>
    <t xml:space="preserve">TOTAL</t>
  </si>
  <si>
    <t xml:space="preserve">GOLD (ETFs + Bonds)</t>
  </si>
  <si>
    <t xml:space="preserve">Asset Name</t>
  </si>
  <si>
    <t xml:space="preserve">Qty</t>
  </si>
  <si>
    <t xml:space="preserve">Avg Price</t>
  </si>
  <si>
    <t xml:space="preserve">Curr Price</t>
  </si>
  <si>
    <t xml:space="preserve">Today Gain</t>
  </si>
  <si>
    <t xml:space="preserve">Today %</t>
  </si>
  <si>
    <t xml:space="preserve">Nippon India ETF Gold BeES</t>
  </si>
  <si>
    <t xml:space="preserve">Zerodha Gold ETF</t>
  </si>
  <si>
    <t xml:space="preserve">Sovereign Gold Bond 2.50% DEC 2031 Sr-III 2023-24 (IN0020230168)</t>
  </si>
  <si>
    <t xml:space="preserve">SILVER</t>
  </si>
  <si>
    <t xml:space="preserve">Zerodha Silver ETF</t>
  </si>
  <si>
    <t xml:space="preserve">INTERNATIONAL (US Markets)</t>
  </si>
  <si>
    <t xml:space="preserve">Mirae Asset NYSE FANG+ ETF</t>
  </si>
  <si>
    <t xml:space="preserve">Motilal Oswal MOSt Shares NASDAQ-100 ETF</t>
  </si>
  <si>
    <t xml:space="preserve">STOCKS - MOMENTUM &amp; VALUE (India)</t>
  </si>
  <si>
    <t xml:space="preserve">Adani Ports and Special Economic Zone</t>
  </si>
  <si>
    <t xml:space="preserve">Aditya Birla Capital</t>
  </si>
  <si>
    <t xml:space="preserve">Aditya Birla Fashion - Rights Entitlement</t>
  </si>
  <si>
    <t xml:space="preserve">Arvind Fashions - Rights Entitlement</t>
  </si>
  <si>
    <t xml:space="preserve">Asian Paints</t>
  </si>
  <si>
    <t xml:space="preserve">Bank Of Baroda</t>
  </si>
  <si>
    <t xml:space="preserve">Bank of India</t>
  </si>
  <si>
    <t xml:space="preserve">Bharat Electronics</t>
  </si>
  <si>
    <t xml:space="preserve">Bharat Petroleum Corporation</t>
  </si>
  <si>
    <t xml:space="preserve">Bharti Airtel</t>
  </si>
  <si>
    <t xml:space="preserve">Canara Bank</t>
  </si>
  <si>
    <t xml:space="preserve">IIFL Finance</t>
  </si>
  <si>
    <t xml:space="preserve">Indian Bank</t>
  </si>
  <si>
    <t xml:space="preserve">Indian Oil Corporation</t>
  </si>
  <si>
    <t xml:space="preserve">Karur Vysya Bank</t>
  </si>
  <si>
    <t xml:space="preserve">Kirloskar Oil Engines</t>
  </si>
  <si>
    <t xml:space="preserve">Larsen &amp; Toubro</t>
  </si>
  <si>
    <t xml:space="preserve">Mahindra &amp; Mahindra</t>
  </si>
  <si>
    <t xml:space="preserve">MindTree</t>
  </si>
  <si>
    <t xml:space="preserve">Muthoot Finance</t>
  </si>
  <si>
    <t xml:space="preserve">Narayana Hrudayalaya</t>
  </si>
  <si>
    <t xml:space="preserve">National Aluminium</t>
  </si>
  <si>
    <t xml:space="preserve">Punjab National Bank</t>
  </si>
  <si>
    <t xml:space="preserve">SBI Life Insurance Company</t>
  </si>
  <si>
    <t xml:space="preserve">Shriram Finance</t>
  </si>
  <si>
    <t xml:space="preserve">South Indian Bank</t>
  </si>
  <si>
    <t xml:space="preserve">State Bank Of India</t>
  </si>
  <si>
    <t xml:space="preserve">Tata Coffee</t>
  </si>
  <si>
    <t xml:space="preserve">Tata Consumer Products Rights Entitlement</t>
  </si>
  <si>
    <t xml:space="preserve">TVS Motor Company</t>
  </si>
  <si>
    <t xml:space="preserve">Union Bank of India</t>
  </si>
  <si>
    <t xml:space="preserve">Vedanta Limited</t>
  </si>
  <si>
    <t xml:space="preserve">Zerodha Nifty 100 ETF</t>
  </si>
  <si>
    <t xml:space="preserve">MUTUAL FUNDS - DEBT</t>
  </si>
  <si>
    <t xml:space="preserve">Tata Arbitrage Fund-Direct Plan-Growth</t>
  </si>
  <si>
    <t xml:space="preserve">HDFC Liquid Fund -Direct Plan - Growth Option</t>
  </si>
  <si>
    <t xml:space="preserve">MUTUAL FUNDS - SIZE (ELSS)</t>
  </si>
  <si>
    <t xml:space="preserve">Aditya Birla Sun Life ELSS Tax Saver Fund - Growth - Direct Plan</t>
  </si>
  <si>
    <t xml:space="preserve">MUTUAL FUNDS - LOW VOLATILITY</t>
  </si>
  <si>
    <t xml:space="preserve">ICICI Prudential Nifty Alpha Low - Volatility 30 ETF FOF - Direct Plan - Growth</t>
  </si>
  <si>
    <t xml:space="preserve">MUTUAL FUNDS - MOMENTUM</t>
  </si>
  <si>
    <t xml:space="preserve">Tata Nifty Midcap 150 Momentum 50 Index Fund - Growth - Direct Plan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</si>
</sst>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0" t="s">
        <v>6</v>
      </c>
      <c r="B4" s="3" t="n">
        <v>3869840.33</v>
      </c>
      <c r="C4" s="3" t="n">
        <v>7299259.32</v>
      </c>
      <c r="D4" s="3" t="n">
        <v>3429418.99</v>
      </c>
      <c r="E4" s="4" t="n">
        <f aca="false">IF(B4&gt;0,D4/B4,0)</f>
        <v>0.886191340612753</v>
      </c>
    </row>
    <row r="5" customFormat="false" ht="15" hidden="false" customHeight="false" outlineLevel="0" collapsed="false">
      <c r="A5" s="0" t="s">
        <v>7</v>
      </c>
      <c r="B5" s="3" t="n">
        <v>1974347.34</v>
      </c>
      <c r="C5" s="3" t="n">
        <v>3307206</v>
      </c>
      <c r="D5" s="3" t="n">
        <v>1332858.66</v>
      </c>
      <c r="E5" s="4" t="n">
        <f aca="false">IF(B5&gt;0,D5/B5,0)</f>
        <v>0.675088234474487</v>
      </c>
    </row>
    <row r="6" customFormat="false" ht="15" hidden="false" customHeight="false" outlineLevel="0" collapsed="false">
      <c r="A6" s="0" t="s">
        <v>8</v>
      </c>
      <c r="B6" s="3" t="n">
        <v>966671.16</v>
      </c>
      <c r="C6" s="3" t="n">
        <v>1268320.8</v>
      </c>
      <c r="D6" s="3" t="n">
        <v>301649.64</v>
      </c>
      <c r="E6" s="4" t="n">
        <f aca="false">IF(B6&gt;0,D6/B6,0)</f>
        <v>0.312049901230114</v>
      </c>
    </row>
    <row r="7" customFormat="false" ht="15" hidden="false" customHeight="false" outlineLevel="0" collapsed="false">
      <c r="A7" s="0" t="s">
        <v>9</v>
      </c>
      <c r="B7" s="3" t="n">
        <v>1565011.73</v>
      </c>
      <c r="C7" s="3" t="n">
        <v>1790850.92</v>
      </c>
      <c r="D7" s="3" t="n">
        <v>225839.19</v>
      </c>
      <c r="E7" s="4" t="n">
        <f aca="false">IF(B7&gt;0,D7/B7,0)</f>
        <v>0.144305110096523</v>
      </c>
    </row>
    <row r="8" customFormat="false" ht="15" hidden="false" customHeight="false" outlineLevel="0" collapsed="false">
      <c r="A8" s="0" t="s">
        <v>10</v>
      </c>
      <c r="B8" s="3" t="n">
        <v>5290000</v>
      </c>
      <c r="C8" s="3" t="n">
        <v>5319751.12</v>
      </c>
      <c r="D8" s="3" t="n">
        <v>29751.1200000001</v>
      </c>
      <c r="E8" s="4" t="n">
        <f aca="false">IF(B8&gt;0,D8/B8,0)</f>
        <v>0.00562403024574671</v>
      </c>
    </row>
    <row r="9" customFormat="false" ht="15" hidden="false" customHeight="false" outlineLevel="0" collapsed="false">
      <c r="A9" s="0" t="s">
        <v>11</v>
      </c>
      <c r="B9" s="3" t="n">
        <v>185076.66</v>
      </c>
      <c r="C9" s="3" t="n">
        <v>283837.23</v>
      </c>
      <c r="D9" s="3" t="n">
        <v>98760.57</v>
      </c>
      <c r="E9" s="4" t="n">
        <f aca="false">IF(B9&gt;0,D9/B9,0)</f>
        <v>0.533619798412182</v>
      </c>
    </row>
    <row r="10" customFormat="false" ht="15" hidden="false" customHeight="false" outlineLevel="0" collapsed="false">
      <c r="A10" s="0" t="s">
        <v>12</v>
      </c>
      <c r="B10" s="3" t="n">
        <v>2432000</v>
      </c>
      <c r="C10" s="3" t="n">
        <v>3273827.5</v>
      </c>
      <c r="D10" s="3" t="n">
        <v>841827.5</v>
      </c>
      <c r="E10" s="4" t="n">
        <f aca="false">IF(B10&gt;0,D10/B10,0)</f>
        <v>0.346146175986842</v>
      </c>
    </row>
    <row r="11" customFormat="false" ht="15" hidden="false" customHeight="false" outlineLevel="0" collapsed="false">
      <c r="A11" s="0" t="s">
        <v>13</v>
      </c>
      <c r="B11" s="3" t="n">
        <v>863522.66</v>
      </c>
      <c r="C11" s="3" t="n">
        <v>1007255.68</v>
      </c>
      <c r="D11" s="3" t="n">
        <v>143733.02</v>
      </c>
      <c r="E11" s="4" t="n">
        <f aca="false">IF(B11&gt;0,D11/B11,0)</f>
        <v>0.166449621599971</v>
      </c>
    </row>
    <row r="12" customFormat="false" ht="15" hidden="false" customHeight="false" outlineLevel="0" collapsed="false">
      <c r="A12" s="5" t="s">
        <v>14</v>
      </c>
      <c r="B12" s="3" t="n">
        <f aca="false">SUM(B4:B11)</f>
        <v>17146469.88</v>
      </c>
      <c r="C12" s="3" t="n">
        <f aca="false">SUM(C4:C11)</f>
        <v>23550308.57</v>
      </c>
      <c r="D12" s="3" t="n">
        <f aca="false">SUM(D4:D11)</f>
        <v>6403838.69</v>
      </c>
      <c r="E12" s="4" t="n">
        <f aca="false">IF(B12&gt;0,D12/B12,0)</f>
        <v>0.37347854892683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6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2</v>
      </c>
      <c r="E3" s="2" t="s">
        <v>19</v>
      </c>
      <c r="F3" s="2" t="s">
        <v>20</v>
      </c>
      <c r="G3" s="2" t="s">
        <v>21</v>
      </c>
      <c r="H3" s="2" t="s">
        <v>4</v>
      </c>
      <c r="I3" s="2" t="s">
        <v>5</v>
      </c>
      <c r="J3" s="2" t="s">
        <v>3</v>
      </c>
    </row>
    <row r="4" customFormat="false" ht="15" hidden="false" customHeight="false" outlineLevel="0" collapsed="false">
      <c r="A4" s="0" t="s">
        <v>22</v>
      </c>
      <c r="B4" s="0" t="n">
        <v>5388</v>
      </c>
      <c r="C4" s="3" t="n">
        <v>115.69</v>
      </c>
      <c r="D4" s="3" t="n">
        <v>623358.62</v>
      </c>
      <c r="E4" s="3" t="n">
        <v>130.89</v>
      </c>
      <c r="F4" s="3" t="n">
        <v>27101.64</v>
      </c>
      <c r="G4" s="4" t="n">
        <v>0.0399650405212141</v>
      </c>
      <c r="H4" s="3" t="n">
        <v>81876.7</v>
      </c>
      <c r="I4" s="4" t="n">
        <v>0.131347666291997</v>
      </c>
      <c r="J4" s="3" t="n">
        <v>705235.32</v>
      </c>
    </row>
    <row r="5" customFormat="false" ht="15" hidden="false" customHeight="false" outlineLevel="0" collapsed="false">
      <c r="A5" s="0" t="s">
        <v>23</v>
      </c>
      <c r="B5" s="0" t="n">
        <v>118200</v>
      </c>
      <c r="C5" s="3" t="n">
        <v>13.03</v>
      </c>
      <c r="D5" s="3" t="n">
        <v>1539620.44</v>
      </c>
      <c r="E5" s="3" t="n">
        <v>24.75</v>
      </c>
      <c r="F5" s="3" t="n">
        <v>117018</v>
      </c>
      <c r="G5" s="4" t="n">
        <v>0.0416666666666667</v>
      </c>
      <c r="H5" s="3" t="n">
        <v>1385829.56</v>
      </c>
      <c r="I5" s="4" t="n">
        <v>0.900111172855045</v>
      </c>
      <c r="J5" s="3" t="n">
        <v>2925450</v>
      </c>
    </row>
    <row r="6" customFormat="false" ht="15" hidden="false" customHeight="false" outlineLevel="0" collapsed="false">
      <c r="A6" s="0" t="s">
        <v>24</v>
      </c>
      <c r="B6" s="0" t="n">
        <v>200</v>
      </c>
      <c r="C6" s="3" t="n">
        <v>8534.31</v>
      </c>
      <c r="D6" s="3" t="n">
        <v>1706861.27</v>
      </c>
      <c r="E6" s="3" t="n">
        <v>18342.87</v>
      </c>
      <c r="F6" s="3" t="n">
        <v>65820</v>
      </c>
      <c r="G6" s="4" t="n">
        <v>0.0182693572750179</v>
      </c>
      <c r="H6" s="3" t="n">
        <v>1961712.73</v>
      </c>
      <c r="I6" s="4" t="n">
        <v>1.14931000221242</v>
      </c>
      <c r="J6" s="3" t="n">
        <v>3668574</v>
      </c>
    </row>
    <row r="7" customFormat="false" ht="15" hidden="false" customHeight="false" outlineLevel="0" collapsed="false">
      <c r="A7" s="7" t="s">
        <v>14</v>
      </c>
      <c r="D7" s="3" t="n">
        <f aca="false">SUM(D4:D6)</f>
        <v>3869840.33</v>
      </c>
      <c r="F7" s="3" t="n">
        <f aca="false">SUM(F4:F6)</f>
        <v>209939.64</v>
      </c>
      <c r="H7" s="3" t="n">
        <f aca="false">SUM(H4:H6)</f>
        <v>3429418.99</v>
      </c>
      <c r="I7" s="4" t="n">
        <f aca="false">IF(D7&gt;0,H7/D7,0)</f>
        <v>0.886191340612753</v>
      </c>
      <c r="J7" s="3" t="n">
        <f aca="false">SUM(J4:J6)</f>
        <v>7299259.32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6" t="s">
        <v>25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2</v>
      </c>
      <c r="E3" s="2" t="s">
        <v>19</v>
      </c>
      <c r="F3" s="2" t="s">
        <v>20</v>
      </c>
      <c r="G3" s="2" t="s">
        <v>21</v>
      </c>
      <c r="H3" s="2" t="s">
        <v>4</v>
      </c>
      <c r="I3" s="2" t="s">
        <v>5</v>
      </c>
      <c r="J3" s="2" t="s">
        <v>3</v>
      </c>
    </row>
    <row r="4" customFormat="false" ht="15" hidden="false" customHeight="false" outlineLevel="0" collapsed="false">
      <c r="A4" s="0" t="s">
        <v>26</v>
      </c>
      <c r="B4" s="0" t="n">
        <v>102900</v>
      </c>
      <c r="C4" s="3" t="n">
        <v>19.19</v>
      </c>
      <c r="D4" s="3" t="n">
        <v>1974347.34</v>
      </c>
      <c r="E4" s="3" t="n">
        <v>32.14</v>
      </c>
      <c r="F4" s="3" t="n">
        <v>67914</v>
      </c>
      <c r="G4" s="4" t="n">
        <v>0.0209656925031766</v>
      </c>
      <c r="H4" s="3" t="n">
        <v>1332858.66</v>
      </c>
      <c r="I4" s="4" t="n">
        <v>0.675088234474487</v>
      </c>
      <c r="J4" s="3" t="n">
        <v>3307206</v>
      </c>
    </row>
    <row r="5" customFormat="false" ht="15" hidden="false" customHeight="false" outlineLevel="0" collapsed="false">
      <c r="A5" s="7" t="s">
        <v>14</v>
      </c>
      <c r="D5" s="3" t="n">
        <f aca="false">SUM(D4)</f>
        <v>1974347.34</v>
      </c>
      <c r="F5" s="3" t="n">
        <f aca="false">SUM(F4)</f>
        <v>67914</v>
      </c>
      <c r="H5" s="3" t="n">
        <f aca="false">SUM(H4)</f>
        <v>1332858.66</v>
      </c>
      <c r="I5" s="4" t="n">
        <f aca="false">IF(D5&gt;0,H5/D5,0)</f>
        <v>0.675088234474487</v>
      </c>
      <c r="J5" s="3" t="n">
        <f aca="false">SUM(J4)</f>
        <v>3307206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6" t="s">
        <v>27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2</v>
      </c>
      <c r="E3" s="2" t="s">
        <v>19</v>
      </c>
      <c r="F3" s="2" t="s">
        <v>20</v>
      </c>
      <c r="G3" s="2" t="s">
        <v>21</v>
      </c>
      <c r="H3" s="2" t="s">
        <v>4</v>
      </c>
      <c r="I3" s="2" t="s">
        <v>5</v>
      </c>
      <c r="J3" s="2" t="s">
        <v>3</v>
      </c>
    </row>
    <row r="4" customFormat="false" ht="15" hidden="false" customHeight="false" outlineLevel="0" collapsed="false">
      <c r="A4" s="0" t="s">
        <v>28</v>
      </c>
      <c r="B4" s="0" t="n">
        <v>4200</v>
      </c>
      <c r="C4" s="3" t="n">
        <v>118.94</v>
      </c>
      <c r="D4" s="3" t="n">
        <v>499537.89</v>
      </c>
      <c r="E4" s="3" t="n">
        <v>165.88</v>
      </c>
      <c r="F4" s="3" t="n">
        <v>0</v>
      </c>
      <c r="G4" s="4" t="n">
        <v>0</v>
      </c>
      <c r="H4" s="3" t="n">
        <v>197158.11</v>
      </c>
      <c r="I4" s="4" t="n">
        <v>0.394680992066488</v>
      </c>
      <c r="J4" s="3" t="n">
        <v>696696</v>
      </c>
    </row>
    <row r="5" customFormat="false" ht="15" hidden="false" customHeight="false" outlineLevel="0" collapsed="false">
      <c r="A5" s="0" t="s">
        <v>29</v>
      </c>
      <c r="B5" s="0" t="n">
        <v>2494</v>
      </c>
      <c r="C5" s="3" t="n">
        <v>187.3</v>
      </c>
      <c r="D5" s="3" t="n">
        <v>467133.27</v>
      </c>
      <c r="E5" s="3" t="n">
        <v>229.2</v>
      </c>
      <c r="F5" s="3" t="n">
        <v>-4938.12</v>
      </c>
      <c r="G5" s="4" t="n">
        <v>-0.00856475473656891</v>
      </c>
      <c r="H5" s="3" t="n">
        <v>104491.53</v>
      </c>
      <c r="I5" s="4" t="n">
        <v>0.22368676502104</v>
      </c>
      <c r="J5" s="3" t="n">
        <v>571624.8</v>
      </c>
    </row>
    <row r="6" customFormat="false" ht="15" hidden="false" customHeight="false" outlineLevel="0" collapsed="false">
      <c r="A6" s="7" t="s">
        <v>14</v>
      </c>
      <c r="D6" s="3" t="n">
        <f aca="false">SUM(D4:D5)</f>
        <v>966671.16</v>
      </c>
      <c r="F6" s="3" t="n">
        <f aca="false">SUM(F4:F5)</f>
        <v>-4938.12</v>
      </c>
      <c r="H6" s="3" t="n">
        <f aca="false">SUM(H4:H5)</f>
        <v>301649.64</v>
      </c>
      <c r="I6" s="4" t="n">
        <f aca="false">IF(D6&gt;0,H6/D6,0)</f>
        <v>0.312049901230114</v>
      </c>
      <c r="J6" s="3" t="n">
        <f aca="false">SUM(J4:J5)</f>
        <v>1268320.8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6" t="s">
        <v>30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2</v>
      </c>
      <c r="E3" s="2" t="s">
        <v>19</v>
      </c>
      <c r="F3" s="2" t="s">
        <v>20</v>
      </c>
      <c r="G3" s="2" t="s">
        <v>21</v>
      </c>
      <c r="H3" s="2" t="s">
        <v>4</v>
      </c>
      <c r="I3" s="2" t="s">
        <v>5</v>
      </c>
      <c r="J3" s="2" t="s">
        <v>3</v>
      </c>
    </row>
    <row r="4" customFormat="false" ht="15" hidden="false" customHeight="false" outlineLevel="0" collapsed="false">
      <c r="A4" s="0" t="s">
        <v>31</v>
      </c>
      <c r="B4" s="0" t="n">
        <v>43</v>
      </c>
      <c r="C4" s="3" t="n">
        <v>1446.32</v>
      </c>
      <c r="D4" s="3" t="n">
        <v>62191.7</v>
      </c>
      <c r="E4" s="3" t="n">
        <v>1376.3</v>
      </c>
      <c r="F4" s="3" t="n">
        <v>374.1</v>
      </c>
      <c r="G4" s="4" t="n">
        <v>0.00636150921322024</v>
      </c>
      <c r="H4" s="3" t="n">
        <v>-3010.8</v>
      </c>
      <c r="I4" s="4" t="n">
        <v>-0.0484116047639797</v>
      </c>
      <c r="J4" s="3" t="n">
        <v>59180.9</v>
      </c>
    </row>
    <row r="5" customFormat="false" ht="15" hidden="false" customHeight="false" outlineLevel="0" collapsed="false">
      <c r="A5" s="0" t="s">
        <v>32</v>
      </c>
      <c r="B5" s="0" t="n">
        <v>192</v>
      </c>
      <c r="C5" s="3" t="n">
        <v>225.69</v>
      </c>
      <c r="D5" s="3" t="n">
        <v>43331.68</v>
      </c>
      <c r="E5" s="3" t="n">
        <v>355.75</v>
      </c>
      <c r="F5" s="3" t="n">
        <v>76.8</v>
      </c>
      <c r="G5" s="4" t="n">
        <v>0.00112565076684958</v>
      </c>
      <c r="H5" s="3" t="n">
        <v>24972.32</v>
      </c>
      <c r="I5" s="4" t="n">
        <v>0.576306295994063</v>
      </c>
      <c r="J5" s="3" t="n">
        <v>68304</v>
      </c>
    </row>
    <row r="6" customFormat="false" ht="15" hidden="false" customHeight="false" outlineLevel="0" collapsed="false">
      <c r="A6" s="0" t="s">
        <v>33</v>
      </c>
      <c r="B6" s="0" t="n">
        <v>2</v>
      </c>
      <c r="C6" s="3" t="n">
        <v>0</v>
      </c>
      <c r="D6" s="3" t="n">
        <v>0</v>
      </c>
      <c r="E6" s="3" t="n">
        <v>10.15</v>
      </c>
      <c r="F6" s="3" t="n">
        <v>0</v>
      </c>
      <c r="G6" s="4" t="n">
        <v>0</v>
      </c>
      <c r="H6" s="3" t="n">
        <v>20.3</v>
      </c>
      <c r="I6" s="4" t="n">
        <v>0</v>
      </c>
      <c r="J6" s="3" t="n">
        <v>20.3</v>
      </c>
    </row>
    <row r="7" customFormat="false" ht="15" hidden="false" customHeight="false" outlineLevel="0" collapsed="false">
      <c r="A7" s="0" t="s">
        <v>34</v>
      </c>
      <c r="B7" s="0" t="n">
        <v>1</v>
      </c>
      <c r="C7" s="3" t="n">
        <v>0</v>
      </c>
      <c r="D7" s="3" t="n">
        <v>0</v>
      </c>
      <c r="E7" s="3" t="n">
        <v>38.15</v>
      </c>
      <c r="F7" s="3" t="n">
        <v>0</v>
      </c>
      <c r="G7" s="4" t="n">
        <v>0</v>
      </c>
      <c r="H7" s="3" t="n">
        <v>38.15</v>
      </c>
      <c r="I7" s="4" t="n">
        <v>0</v>
      </c>
      <c r="J7" s="3" t="n">
        <v>38.15</v>
      </c>
    </row>
    <row r="8" customFormat="false" ht="15" hidden="false" customHeight="false" outlineLevel="0" collapsed="false">
      <c r="A8" s="0" t="s">
        <v>35</v>
      </c>
      <c r="B8" s="0" t="n">
        <v>14</v>
      </c>
      <c r="C8" s="3" t="n">
        <v>2834.9</v>
      </c>
      <c r="D8" s="3" t="n">
        <v>39688.6</v>
      </c>
      <c r="E8" s="3" t="n">
        <v>2670.2</v>
      </c>
      <c r="F8" s="3" t="n">
        <v>-75.6</v>
      </c>
      <c r="G8" s="4" t="n">
        <v>-0.00201823889968605</v>
      </c>
      <c r="H8" s="3" t="n">
        <v>-2305.8</v>
      </c>
      <c r="I8" s="4" t="n">
        <v>-0.0580972873822711</v>
      </c>
      <c r="J8" s="3" t="n">
        <v>37382.8</v>
      </c>
    </row>
    <row r="9" customFormat="false" ht="15" hidden="false" customHeight="false" outlineLevel="0" collapsed="false">
      <c r="A9" s="0" t="s">
        <v>36</v>
      </c>
      <c r="B9" s="0" t="n">
        <v>136</v>
      </c>
      <c r="C9" s="3" t="n">
        <v>301.5</v>
      </c>
      <c r="D9" s="3" t="n">
        <v>41004</v>
      </c>
      <c r="E9" s="3" t="n">
        <v>303.65</v>
      </c>
      <c r="F9" s="3" t="n">
        <v>217.6</v>
      </c>
      <c r="G9" s="4" t="n">
        <v>0.00529713623572256</v>
      </c>
      <c r="H9" s="3" t="n">
        <v>292.399999999994</v>
      </c>
      <c r="I9" s="4" t="n">
        <v>0.00713101160862341</v>
      </c>
      <c r="J9" s="3" t="n">
        <v>41296.4</v>
      </c>
    </row>
    <row r="10" customFormat="false" ht="15" hidden="false" customHeight="false" outlineLevel="0" collapsed="false">
      <c r="A10" s="0" t="s">
        <v>37</v>
      </c>
      <c r="B10" s="0" t="n">
        <v>489</v>
      </c>
      <c r="C10" s="3" t="n">
        <v>125.98</v>
      </c>
      <c r="D10" s="3" t="n">
        <v>61606.49</v>
      </c>
      <c r="E10" s="3" t="n">
        <v>161.84</v>
      </c>
      <c r="F10" s="3" t="n">
        <v>1022.01</v>
      </c>
      <c r="G10" s="4" t="n">
        <v>0.0130829420970266</v>
      </c>
      <c r="H10" s="3" t="n">
        <v>17533.27</v>
      </c>
      <c r="I10" s="4" t="n">
        <v>0.284601021743001</v>
      </c>
      <c r="J10" s="3" t="n">
        <v>79139.76</v>
      </c>
    </row>
    <row r="11" customFormat="false" ht="15" hidden="false" customHeight="false" outlineLevel="0" collapsed="false">
      <c r="A11" s="0" t="s">
        <v>38</v>
      </c>
      <c r="B11" s="0" t="n">
        <v>97</v>
      </c>
      <c r="C11" s="3" t="n">
        <v>418.7</v>
      </c>
      <c r="D11" s="3" t="n">
        <v>40614.05</v>
      </c>
      <c r="E11" s="3" t="n">
        <v>407</v>
      </c>
      <c r="F11" s="3" t="n">
        <v>-227.95</v>
      </c>
      <c r="G11" s="4" t="n">
        <v>-0.00574080859899841</v>
      </c>
      <c r="H11" s="3" t="n">
        <v>-1135.05</v>
      </c>
      <c r="I11" s="4" t="n">
        <v>-0.0279472251597662</v>
      </c>
      <c r="J11" s="3" t="n">
        <v>39479</v>
      </c>
    </row>
    <row r="12" customFormat="false" ht="15" hidden="false" customHeight="false" outlineLevel="0" collapsed="false">
      <c r="A12" s="0" t="s">
        <v>39</v>
      </c>
      <c r="B12" s="0" t="n">
        <v>312</v>
      </c>
      <c r="C12" s="3" t="n">
        <v>330.5</v>
      </c>
      <c r="D12" s="3" t="n">
        <v>103115.85</v>
      </c>
      <c r="E12" s="3" t="n">
        <v>357.3</v>
      </c>
      <c r="F12" s="3" t="n">
        <v>655.2</v>
      </c>
      <c r="G12" s="4" t="n">
        <v>0.00591216216216216</v>
      </c>
      <c r="H12" s="3" t="n">
        <v>8361.75</v>
      </c>
      <c r="I12" s="4" t="n">
        <v>0.0810908313319436</v>
      </c>
      <c r="J12" s="3" t="n">
        <v>111477.6</v>
      </c>
    </row>
    <row r="13" customFormat="false" ht="15" hidden="false" customHeight="false" outlineLevel="0" collapsed="false">
      <c r="A13" s="0" t="s">
        <v>40</v>
      </c>
      <c r="B13" s="0" t="n">
        <v>20</v>
      </c>
      <c r="C13" s="3" t="n">
        <v>2023.8</v>
      </c>
      <c r="D13" s="3" t="n">
        <v>40476</v>
      </c>
      <c r="E13" s="3" t="n">
        <v>1982.8</v>
      </c>
      <c r="F13" s="3" t="n">
        <v>-264</v>
      </c>
      <c r="G13" s="4" t="n">
        <v>-0.00661322645290581</v>
      </c>
      <c r="H13" s="3" t="n">
        <v>-820</v>
      </c>
      <c r="I13" s="4" t="n">
        <v>-0.0202589188655005</v>
      </c>
      <c r="J13" s="3" t="n">
        <v>39656</v>
      </c>
    </row>
    <row r="14" customFormat="false" ht="15" hidden="false" customHeight="false" outlineLevel="0" collapsed="false">
      <c r="A14" s="0" t="s">
        <v>41</v>
      </c>
      <c r="B14" s="0" t="n">
        <v>718</v>
      </c>
      <c r="C14" s="3" t="n">
        <v>151.32</v>
      </c>
      <c r="D14" s="3" t="n">
        <v>108646.89</v>
      </c>
      <c r="E14" s="3" t="n">
        <v>155.24</v>
      </c>
      <c r="F14" s="3" t="n">
        <v>1120.08</v>
      </c>
      <c r="G14" s="4" t="n">
        <v>0.0101509630400833</v>
      </c>
      <c r="H14" s="3" t="n">
        <v>2815.43000000001</v>
      </c>
      <c r="I14" s="4" t="n">
        <v>0.025913581143464</v>
      </c>
      <c r="J14" s="3" t="n">
        <v>111462.32</v>
      </c>
    </row>
    <row r="15" customFormat="false" ht="15" hidden="false" customHeight="false" outlineLevel="0" collapsed="false">
      <c r="A15" s="0" t="s">
        <v>42</v>
      </c>
      <c r="B15" s="0" t="n">
        <v>118</v>
      </c>
      <c r="C15" s="3" t="n">
        <v>439.28</v>
      </c>
      <c r="D15" s="3" t="n">
        <v>51834.89</v>
      </c>
      <c r="E15" s="3" t="n">
        <v>625</v>
      </c>
      <c r="F15" s="3" t="n">
        <v>-660.8</v>
      </c>
      <c r="G15" s="4" t="n">
        <v>-0.00888043133523628</v>
      </c>
      <c r="H15" s="3" t="n">
        <v>21915.11</v>
      </c>
      <c r="I15" s="4" t="n">
        <v>0.422786852639217</v>
      </c>
      <c r="J15" s="3" t="n">
        <v>73750</v>
      </c>
    </row>
    <row r="16" customFormat="false" ht="15" hidden="false" customHeight="false" outlineLevel="0" collapsed="false">
      <c r="A16" s="0" t="s">
        <v>43</v>
      </c>
      <c r="B16" s="0" t="n">
        <v>82</v>
      </c>
      <c r="C16" s="3" t="n">
        <v>643.15</v>
      </c>
      <c r="D16" s="3" t="n">
        <v>52738.5</v>
      </c>
      <c r="E16" s="3" t="n">
        <v>852</v>
      </c>
      <c r="F16" s="3" t="n">
        <v>442.8</v>
      </c>
      <c r="G16" s="4" t="n">
        <v>0.00637845499645641</v>
      </c>
      <c r="H16" s="3" t="n">
        <v>17125.5</v>
      </c>
      <c r="I16" s="4" t="n">
        <v>0.324724821525072</v>
      </c>
      <c r="J16" s="3" t="n">
        <v>69864</v>
      </c>
    </row>
    <row r="17" customFormat="false" ht="15" hidden="false" customHeight="false" outlineLevel="0" collapsed="false">
      <c r="A17" s="0" t="s">
        <v>44</v>
      </c>
      <c r="B17" s="0" t="n">
        <v>259</v>
      </c>
      <c r="C17" s="3" t="n">
        <v>156.99</v>
      </c>
      <c r="D17" s="3" t="n">
        <v>40660.41</v>
      </c>
      <c r="E17" s="3" t="n">
        <v>159.16</v>
      </c>
      <c r="F17" s="3" t="n">
        <v>189.07</v>
      </c>
      <c r="G17" s="4" t="n">
        <v>0.00460771318563403</v>
      </c>
      <c r="H17" s="3" t="n">
        <v>562.029999999999</v>
      </c>
      <c r="I17" s="4" t="n">
        <v>0.0138225364672909</v>
      </c>
      <c r="J17" s="3" t="n">
        <v>41222.44</v>
      </c>
    </row>
    <row r="18" customFormat="false" ht="15" hidden="false" customHeight="false" outlineLevel="0" collapsed="false">
      <c r="A18" s="0" t="s">
        <v>45</v>
      </c>
      <c r="B18" s="0" t="n">
        <v>216</v>
      </c>
      <c r="C18" s="3" t="n">
        <v>213.12</v>
      </c>
      <c r="D18" s="3" t="n">
        <v>46032.97</v>
      </c>
      <c r="E18" s="3" t="n">
        <v>258.05</v>
      </c>
      <c r="F18" s="3" t="n">
        <v>-226.8</v>
      </c>
      <c r="G18" s="4" t="n">
        <v>-0.00405248938633732</v>
      </c>
      <c r="H18" s="3" t="n">
        <v>9705.83</v>
      </c>
      <c r="I18" s="4" t="n">
        <v>0.210845183354452</v>
      </c>
      <c r="J18" s="3" t="n">
        <v>55738.8</v>
      </c>
    </row>
    <row r="19" customFormat="false" ht="15" hidden="false" customHeight="false" outlineLevel="0" collapsed="false">
      <c r="A19" s="0" t="s">
        <v>46</v>
      </c>
      <c r="B19" s="0" t="n">
        <v>59</v>
      </c>
      <c r="C19" s="3" t="n">
        <v>1156.4</v>
      </c>
      <c r="D19" s="3" t="n">
        <v>68227.5</v>
      </c>
      <c r="E19" s="3" t="n">
        <v>1092</v>
      </c>
      <c r="F19" s="3" t="n">
        <v>-413</v>
      </c>
      <c r="G19" s="4" t="n">
        <v>-0.00636942675159236</v>
      </c>
      <c r="H19" s="3" t="n">
        <v>-3799.5</v>
      </c>
      <c r="I19" s="4" t="n">
        <v>-0.0556886885786523</v>
      </c>
      <c r="J19" s="3" t="n">
        <v>64428</v>
      </c>
    </row>
    <row r="20" customFormat="false" ht="15" hidden="false" customHeight="false" outlineLevel="0" collapsed="false">
      <c r="A20" s="0" t="s">
        <v>47</v>
      </c>
      <c r="B20" s="0" t="n">
        <v>10</v>
      </c>
      <c r="C20" s="3" t="n">
        <v>4025</v>
      </c>
      <c r="D20" s="3" t="n">
        <v>40250</v>
      </c>
      <c r="E20" s="3" t="n">
        <v>3793</v>
      </c>
      <c r="F20" s="3" t="n">
        <v>-175</v>
      </c>
      <c r="G20" s="4" t="n">
        <v>-0.00459257315312951</v>
      </c>
      <c r="H20" s="3" t="n">
        <v>-2320</v>
      </c>
      <c r="I20" s="4" t="n">
        <v>-0.057639751552795</v>
      </c>
      <c r="J20" s="3" t="n">
        <v>37930</v>
      </c>
    </row>
    <row r="21" customFormat="false" ht="15" hidden="false" customHeight="false" outlineLevel="0" collapsed="false">
      <c r="A21" s="0" t="s">
        <v>48</v>
      </c>
      <c r="B21" s="0" t="n">
        <v>20</v>
      </c>
      <c r="C21" s="3" t="n">
        <v>2969.67</v>
      </c>
      <c r="D21" s="3" t="n">
        <v>59393.3</v>
      </c>
      <c r="E21" s="3" t="n">
        <v>3569.4</v>
      </c>
      <c r="F21" s="3" t="n">
        <v>238</v>
      </c>
      <c r="G21" s="4" t="n">
        <v>0.00334504567814476</v>
      </c>
      <c r="H21" s="3" t="n">
        <v>11994.7</v>
      </c>
      <c r="I21" s="4" t="n">
        <v>0.201953755726656</v>
      </c>
      <c r="J21" s="3" t="n">
        <v>71388</v>
      </c>
    </row>
    <row r="22" customFormat="false" ht="15" hidden="false" customHeight="false" outlineLevel="0" collapsed="false">
      <c r="A22" s="0" t="s">
        <v>49</v>
      </c>
      <c r="B22" s="0" t="n">
        <v>30</v>
      </c>
      <c r="C22" s="3" t="n">
        <v>2310.12</v>
      </c>
      <c r="D22" s="3" t="n">
        <v>69303.7</v>
      </c>
      <c r="E22" s="3" t="n">
        <v>3433.85</v>
      </c>
      <c r="F22" s="3" t="n">
        <v>0</v>
      </c>
      <c r="G22" s="4" t="n">
        <v>0</v>
      </c>
      <c r="H22" s="3" t="n">
        <v>33711.8</v>
      </c>
      <c r="I22" s="4" t="n">
        <v>0.486435789142571</v>
      </c>
      <c r="J22" s="3" t="n">
        <v>103015.5</v>
      </c>
    </row>
    <row r="23" customFormat="false" ht="15" hidden="false" customHeight="false" outlineLevel="0" collapsed="false">
      <c r="A23" s="0" t="s">
        <v>50</v>
      </c>
      <c r="B23" s="0" t="n">
        <v>18</v>
      </c>
      <c r="C23" s="3" t="n">
        <v>2727.44</v>
      </c>
      <c r="D23" s="3" t="n">
        <v>49093.85</v>
      </c>
      <c r="E23" s="3" t="n">
        <v>3988.7</v>
      </c>
      <c r="F23" s="3" t="n">
        <v>1049.4</v>
      </c>
      <c r="G23" s="4" t="n">
        <v>0.014833095868105</v>
      </c>
      <c r="H23" s="3" t="n">
        <v>22702.75</v>
      </c>
      <c r="I23" s="4" t="n">
        <v>0.462435722600692</v>
      </c>
      <c r="J23" s="3" t="n">
        <v>71796.6</v>
      </c>
    </row>
    <row r="24" customFormat="false" ht="15" hidden="false" customHeight="false" outlineLevel="0" collapsed="false">
      <c r="A24" s="0" t="s">
        <v>51</v>
      </c>
      <c r="B24" s="0" t="n">
        <v>35</v>
      </c>
      <c r="C24" s="3" t="n">
        <v>1768.52</v>
      </c>
      <c r="D24" s="3" t="n">
        <v>61898.1</v>
      </c>
      <c r="E24" s="3" t="n">
        <v>1806.1</v>
      </c>
      <c r="F24" s="3" t="n">
        <v>-465.5</v>
      </c>
      <c r="G24" s="4" t="n">
        <v>-0.00731010223150489</v>
      </c>
      <c r="H24" s="3" t="n">
        <v>1315.4</v>
      </c>
      <c r="I24" s="4" t="n">
        <v>0.0212510561713526</v>
      </c>
      <c r="J24" s="3" t="n">
        <v>63213.5</v>
      </c>
    </row>
    <row r="25" customFormat="false" ht="15" hidden="false" customHeight="false" outlineLevel="0" collapsed="false">
      <c r="A25" s="0" t="s">
        <v>52</v>
      </c>
      <c r="B25" s="0" t="n">
        <v>254</v>
      </c>
      <c r="C25" s="3" t="n">
        <v>265.95</v>
      </c>
      <c r="D25" s="3" t="n">
        <v>67551.3</v>
      </c>
      <c r="E25" s="3" t="n">
        <v>360</v>
      </c>
      <c r="F25" s="3" t="n">
        <v>266.7</v>
      </c>
      <c r="G25" s="4" t="n">
        <v>0.0029251984956122</v>
      </c>
      <c r="H25" s="3" t="n">
        <v>23888.7</v>
      </c>
      <c r="I25" s="4" t="n">
        <v>0.353637901861252</v>
      </c>
      <c r="J25" s="3" t="n">
        <v>91440</v>
      </c>
    </row>
    <row r="26" customFormat="false" ht="15" hidden="false" customHeight="false" outlineLevel="0" collapsed="false">
      <c r="A26" s="0" t="s">
        <v>53</v>
      </c>
      <c r="B26" s="0" t="n">
        <v>332</v>
      </c>
      <c r="C26" s="3" t="n">
        <v>123</v>
      </c>
      <c r="D26" s="3" t="n">
        <v>40835.35</v>
      </c>
      <c r="E26" s="3" t="n">
        <v>126.32</v>
      </c>
      <c r="F26" s="3" t="n">
        <v>182.6</v>
      </c>
      <c r="G26" s="4" t="n">
        <v>0.00437306193845909</v>
      </c>
      <c r="H26" s="3" t="n">
        <v>1102.89</v>
      </c>
      <c r="I26" s="4" t="n">
        <v>0.027008217145194</v>
      </c>
      <c r="J26" s="3" t="n">
        <v>41938.24</v>
      </c>
    </row>
    <row r="27" customFormat="false" ht="15" hidden="false" customHeight="false" outlineLevel="0" collapsed="false">
      <c r="A27" s="0" t="s">
        <v>54</v>
      </c>
      <c r="B27" s="0" t="n">
        <v>20</v>
      </c>
      <c r="C27" s="3" t="n">
        <v>2086.4</v>
      </c>
      <c r="D27" s="3" t="n">
        <v>41728</v>
      </c>
      <c r="E27" s="3" t="n">
        <v>2058.4</v>
      </c>
      <c r="F27" s="3" t="n">
        <v>186</v>
      </c>
      <c r="G27" s="4" t="n">
        <v>0.00453857791225416</v>
      </c>
      <c r="H27" s="3" t="n">
        <v>-560</v>
      </c>
      <c r="I27" s="4" t="n">
        <v>-0.013420245398773</v>
      </c>
      <c r="J27" s="3" t="n">
        <v>41168</v>
      </c>
    </row>
    <row r="28" customFormat="false" ht="15" hidden="false" customHeight="false" outlineLevel="0" collapsed="false">
      <c r="A28" s="0" t="s">
        <v>55</v>
      </c>
      <c r="B28" s="0" t="n">
        <v>42</v>
      </c>
      <c r="C28" s="3" t="n">
        <v>977.85</v>
      </c>
      <c r="D28" s="3" t="n">
        <v>41069.7</v>
      </c>
      <c r="E28" s="3" t="n">
        <v>985.6</v>
      </c>
      <c r="F28" s="3" t="n">
        <v>-79.8</v>
      </c>
      <c r="G28" s="4" t="n">
        <v>-0.00192405063291139</v>
      </c>
      <c r="H28" s="3" t="n">
        <v>325.500000000007</v>
      </c>
      <c r="I28" s="4" t="n">
        <v>0.00792555095362292</v>
      </c>
      <c r="J28" s="3" t="n">
        <v>41395.2</v>
      </c>
    </row>
    <row r="29" customFormat="false" ht="15" hidden="false" customHeight="false" outlineLevel="0" collapsed="false">
      <c r="A29" s="0" t="s">
        <v>56</v>
      </c>
      <c r="B29" s="0" t="n">
        <v>1695</v>
      </c>
      <c r="C29" s="3" t="n">
        <v>40.09</v>
      </c>
      <c r="D29" s="3" t="n">
        <v>67949.55</v>
      </c>
      <c r="E29" s="3" t="n">
        <v>43.9</v>
      </c>
      <c r="F29" s="3" t="n">
        <v>779.7</v>
      </c>
      <c r="G29" s="4" t="n">
        <v>0.0105893186003683</v>
      </c>
      <c r="H29" s="3" t="n">
        <v>6460.95</v>
      </c>
      <c r="I29" s="4" t="n">
        <v>0.0950845149084872</v>
      </c>
      <c r="J29" s="3" t="n">
        <v>74410.5</v>
      </c>
    </row>
    <row r="30" customFormat="false" ht="15" hidden="false" customHeight="false" outlineLevel="0" collapsed="false">
      <c r="A30" s="0" t="s">
        <v>57</v>
      </c>
      <c r="B30" s="0" t="n">
        <v>41</v>
      </c>
      <c r="C30" s="3" t="n">
        <v>1004.8</v>
      </c>
      <c r="D30" s="3" t="n">
        <v>41196.8</v>
      </c>
      <c r="E30" s="3" t="n">
        <v>1035.75</v>
      </c>
      <c r="F30" s="3" t="n">
        <v>-26.65</v>
      </c>
      <c r="G30" s="4" t="n">
        <v>-0.000627170976456966</v>
      </c>
      <c r="H30" s="3" t="n">
        <v>1268.95</v>
      </c>
      <c r="I30" s="4" t="n">
        <v>0.0308021496815286</v>
      </c>
      <c r="J30" s="3" t="n">
        <v>42465.75</v>
      </c>
    </row>
    <row r="31" customFormat="false" ht="15" hidden="false" customHeight="false" outlineLevel="0" collapsed="false">
      <c r="A31" s="0" t="s">
        <v>58</v>
      </c>
      <c r="B31" s="0" t="n">
        <v>187</v>
      </c>
      <c r="C31" s="3" t="n">
        <v>268.3</v>
      </c>
      <c r="D31" s="3" t="n">
        <v>50172.65</v>
      </c>
      <c r="E31" s="3" t="n">
        <v>344.8</v>
      </c>
      <c r="F31" s="3" t="n">
        <v>0</v>
      </c>
      <c r="G31" s="4" t="n">
        <v>0</v>
      </c>
      <c r="H31" s="3" t="n">
        <v>14304.95</v>
      </c>
      <c r="I31" s="4" t="n">
        <v>0.285114499632768</v>
      </c>
      <c r="J31" s="3" t="n">
        <v>64477.6</v>
      </c>
    </row>
    <row r="32" customFormat="false" ht="15" hidden="false" customHeight="false" outlineLevel="0" collapsed="false">
      <c r="A32" s="0" t="s">
        <v>59</v>
      </c>
      <c r="B32" s="0" t="n">
        <v>3</v>
      </c>
      <c r="C32" s="3" t="n">
        <v>0</v>
      </c>
      <c r="D32" s="3" t="n">
        <v>0</v>
      </c>
      <c r="E32" s="3" t="n">
        <v>345.9</v>
      </c>
      <c r="F32" s="3" t="n">
        <v>0</v>
      </c>
      <c r="G32" s="4" t="n">
        <v>0</v>
      </c>
      <c r="H32" s="3" t="n">
        <v>1037.7</v>
      </c>
      <c r="I32" s="4" t="n">
        <v>0</v>
      </c>
      <c r="J32" s="3" t="n">
        <v>1037.7</v>
      </c>
    </row>
    <row r="33" customFormat="false" ht="15" hidden="false" customHeight="false" outlineLevel="0" collapsed="false">
      <c r="A33" s="0" t="s">
        <v>60</v>
      </c>
      <c r="B33" s="0" t="n">
        <v>11</v>
      </c>
      <c r="C33" s="3" t="n">
        <v>3748</v>
      </c>
      <c r="D33" s="3" t="n">
        <v>41228</v>
      </c>
      <c r="E33" s="3" t="n">
        <v>3596.4</v>
      </c>
      <c r="F33" s="3" t="n">
        <v>-212.3</v>
      </c>
      <c r="G33" s="4" t="n">
        <v>-0.00533783223165639</v>
      </c>
      <c r="H33" s="3" t="n">
        <v>-1667.6</v>
      </c>
      <c r="I33" s="4" t="n">
        <v>-0.0404482390608324</v>
      </c>
      <c r="J33" s="3" t="n">
        <v>39560.4</v>
      </c>
    </row>
    <row r="34" customFormat="false" ht="15" hidden="false" customHeight="false" outlineLevel="0" collapsed="false">
      <c r="A34" s="0" t="s">
        <v>61</v>
      </c>
      <c r="B34" s="0" t="n">
        <v>407</v>
      </c>
      <c r="C34" s="3" t="n">
        <v>117.1</v>
      </c>
      <c r="D34" s="3" t="n">
        <v>47658.45</v>
      </c>
      <c r="E34" s="3" t="n">
        <v>176.98</v>
      </c>
      <c r="F34" s="3" t="n">
        <v>508.75</v>
      </c>
      <c r="G34" s="4" t="n">
        <v>0.00711318499971547</v>
      </c>
      <c r="H34" s="3" t="n">
        <v>24372.41</v>
      </c>
      <c r="I34" s="4" t="n">
        <v>0.511397454176542</v>
      </c>
      <c r="J34" s="3" t="n">
        <v>72030.86</v>
      </c>
    </row>
    <row r="35" customFormat="false" ht="15" hidden="false" customHeight="false" outlineLevel="0" collapsed="false">
      <c r="A35" s="0" t="s">
        <v>62</v>
      </c>
      <c r="B35" s="0" t="n">
        <v>61</v>
      </c>
      <c r="C35" s="3" t="n">
        <v>667.95</v>
      </c>
      <c r="D35" s="3" t="n">
        <v>40744.95</v>
      </c>
      <c r="E35" s="3" t="n">
        <v>672.7</v>
      </c>
      <c r="F35" s="3" t="n">
        <v>54.9</v>
      </c>
      <c r="G35" s="4" t="n">
        <v>0.00133968442988985</v>
      </c>
      <c r="H35" s="3" t="n">
        <v>289.750000000007</v>
      </c>
      <c r="I35" s="4" t="n">
        <v>0.00711131072685099</v>
      </c>
      <c r="J35" s="3" t="n">
        <v>41034.7</v>
      </c>
    </row>
    <row r="36" customFormat="false" ht="15" hidden="false" customHeight="false" outlineLevel="0" collapsed="false">
      <c r="A36" s="0" t="s">
        <v>63</v>
      </c>
      <c r="B36" s="0" t="n">
        <v>10</v>
      </c>
      <c r="C36" s="3" t="n">
        <v>476.85</v>
      </c>
      <c r="D36" s="3" t="n">
        <v>4768.5</v>
      </c>
      <c r="E36" s="3" t="n">
        <v>10.79</v>
      </c>
      <c r="F36" s="3" t="n">
        <v>0.2</v>
      </c>
      <c r="G36" s="4" t="n">
        <v>0.00185701021355617</v>
      </c>
      <c r="H36" s="3" t="n">
        <v>-4660.6</v>
      </c>
      <c r="I36" s="4" t="n">
        <v>-0.977372339310056</v>
      </c>
      <c r="J36" s="3" t="n">
        <v>107.9</v>
      </c>
    </row>
    <row r="37" customFormat="false" ht="15" hidden="false" customHeight="false" outlineLevel="0" collapsed="false">
      <c r="A37" s="7" t="s">
        <v>14</v>
      </c>
      <c r="D37" s="3" t="n">
        <f aca="false">SUM(D4:D36)</f>
        <v>1565011.73</v>
      </c>
      <c r="F37" s="3" t="n">
        <f aca="false">SUM(F4:F36)</f>
        <v>4536.51</v>
      </c>
      <c r="H37" s="3" t="n">
        <f aca="false">SUM(H4:H36)</f>
        <v>225839.19</v>
      </c>
      <c r="I37" s="4" t="n">
        <f aca="false">IF(D37&gt;0,H37/D37,0)</f>
        <v>0.144305110096523</v>
      </c>
      <c r="J37" s="3" t="n">
        <f aca="false">SUM(J4:J36)</f>
        <v>1790850.92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6" t="s">
        <v>64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2</v>
      </c>
      <c r="E3" s="2" t="s">
        <v>19</v>
      </c>
      <c r="F3" s="2" t="s">
        <v>20</v>
      </c>
      <c r="G3" s="2" t="s">
        <v>21</v>
      </c>
      <c r="H3" s="2" t="s">
        <v>4</v>
      </c>
      <c r="I3" s="2" t="s">
        <v>5</v>
      </c>
      <c r="J3" s="2" t="s">
        <v>3</v>
      </c>
    </row>
    <row r="4" customFormat="false" ht="15" hidden="false" customHeight="false" outlineLevel="0" collapsed="false">
      <c r="A4" s="0" t="s">
        <v>65</v>
      </c>
      <c r="B4" s="0" t="n">
        <v>134813.674</v>
      </c>
      <c r="C4" s="3" t="n">
        <v>15.5</v>
      </c>
      <c r="D4" s="3" t="n">
        <v>2090000</v>
      </c>
      <c r="E4" s="3" t="n">
        <v>15.6734</v>
      </c>
      <c r="F4" s="3" t="n">
        <v>633.62</v>
      </c>
      <c r="G4" s="4" t="n">
        <v>0.000299959047877492</v>
      </c>
      <c r="H4" s="3" t="n">
        <v>22988.6380715999</v>
      </c>
      <c r="I4" s="4" t="n">
        <v>0.0109993483596172</v>
      </c>
      <c r="J4" s="3" t="n">
        <v>2112988.64</v>
      </c>
    </row>
    <row r="5" customFormat="false" ht="15" hidden="false" customHeight="false" outlineLevel="0" collapsed="false">
      <c r="A5" s="0" t="s">
        <v>66</v>
      </c>
      <c r="B5" s="0" t="n">
        <v>599.843</v>
      </c>
      <c r="C5" s="3" t="n">
        <v>5334.73</v>
      </c>
      <c r="D5" s="3" t="n">
        <v>3200000</v>
      </c>
      <c r="E5" s="3" t="n">
        <v>5346.003</v>
      </c>
      <c r="F5" s="3" t="n">
        <v>296.38</v>
      </c>
      <c r="G5" s="4" t="n">
        <v>9.24319768197142E-005</v>
      </c>
      <c r="H5" s="3" t="n">
        <v>6762.47752899956</v>
      </c>
      <c r="I5" s="4" t="n">
        <v>0.00211327422781236</v>
      </c>
      <c r="J5" s="3" t="n">
        <v>3206762.48</v>
      </c>
    </row>
    <row r="6" customFormat="false" ht="15" hidden="false" customHeight="false" outlineLevel="0" collapsed="false">
      <c r="A6" s="7" t="s">
        <v>14</v>
      </c>
      <c r="D6" s="3" t="n">
        <f aca="false">SUM(D4:D5)</f>
        <v>5290000</v>
      </c>
      <c r="F6" s="3" t="n">
        <f aca="false">SUM(F4:F5)</f>
        <v>930</v>
      </c>
      <c r="H6" s="3" t="n">
        <f aca="false">SUM(H4:H5)</f>
        <v>29751.1156005995</v>
      </c>
      <c r="I6" s="4" t="n">
        <f aca="false">IF(D6&gt;0,H6/D6,0)</f>
        <v>0.00562402941410198</v>
      </c>
      <c r="J6" s="3" t="n">
        <f aca="false">SUM(J4:J5)</f>
        <v>5319751.12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6" t="s">
        <v>67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2</v>
      </c>
      <c r="E3" s="2" t="s">
        <v>19</v>
      </c>
      <c r="F3" s="2" t="s">
        <v>20</v>
      </c>
      <c r="G3" s="2" t="s">
        <v>21</v>
      </c>
      <c r="H3" s="2" t="s">
        <v>4</v>
      </c>
      <c r="I3" s="2" t="s">
        <v>5</v>
      </c>
      <c r="J3" s="2" t="s">
        <v>3</v>
      </c>
    </row>
    <row r="4" customFormat="false" ht="15" hidden="false" customHeight="false" outlineLevel="0" collapsed="false">
      <c r="A4" s="0" t="s">
        <v>68</v>
      </c>
      <c r="B4" s="0" t="n">
        <v>4171.01</v>
      </c>
      <c r="C4" s="3" t="n">
        <v>44.37</v>
      </c>
      <c r="D4" s="3" t="n">
        <v>185076.66</v>
      </c>
      <c r="E4" s="3" t="n">
        <v>68.05</v>
      </c>
      <c r="F4" s="3" t="n">
        <v>-4504.69</v>
      </c>
      <c r="G4" s="4" t="n">
        <v>-0.0156227370345201</v>
      </c>
      <c r="H4" s="3" t="n">
        <v>98760.5705</v>
      </c>
      <c r="I4" s="4" t="n">
        <v>0.533619801113766</v>
      </c>
      <c r="J4" s="3" t="n">
        <v>283837.23</v>
      </c>
    </row>
    <row r="5" customFormat="false" ht="15" hidden="false" customHeight="false" outlineLevel="0" collapsed="false">
      <c r="A5" s="7" t="s">
        <v>14</v>
      </c>
      <c r="D5" s="3" t="n">
        <f aca="false">SUM(D4)</f>
        <v>185076.66</v>
      </c>
      <c r="F5" s="3" t="n">
        <f aca="false">SUM(F4)</f>
        <v>-4504.69</v>
      </c>
      <c r="H5" s="3" t="n">
        <f aca="false">SUM(H4)</f>
        <v>98760.5705</v>
      </c>
      <c r="I5" s="4" t="n">
        <f aca="false">IF(D5&gt;0,H5/D5,0)</f>
        <v>0.533619801113766</v>
      </c>
      <c r="J5" s="3" t="n">
        <f aca="false">SUM(J4)</f>
        <v>283837.23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6" t="s">
        <v>69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2</v>
      </c>
      <c r="E3" s="2" t="s">
        <v>19</v>
      </c>
      <c r="F3" s="2" t="s">
        <v>20</v>
      </c>
      <c r="G3" s="2" t="s">
        <v>21</v>
      </c>
      <c r="H3" s="2" t="s">
        <v>4</v>
      </c>
      <c r="I3" s="2" t="s">
        <v>5</v>
      </c>
      <c r="J3" s="2" t="s">
        <v>3</v>
      </c>
    </row>
    <row r="4" customFormat="false" ht="15" hidden="false" customHeight="false" outlineLevel="0" collapsed="false">
      <c r="A4" s="0" t="s">
        <v>70</v>
      </c>
      <c r="B4" s="0" t="n">
        <v>219075.971</v>
      </c>
      <c r="C4" s="3" t="n">
        <v>11.1</v>
      </c>
      <c r="D4" s="3" t="n">
        <v>2432000</v>
      </c>
      <c r="E4" s="3" t="n">
        <v>14.9438</v>
      </c>
      <c r="F4" s="3" t="n">
        <v>-37045.75</v>
      </c>
      <c r="G4" s="4" t="n">
        <v>-0.0111891175692505</v>
      </c>
      <c r="H4" s="3" t="n">
        <v>841827.4954298</v>
      </c>
      <c r="I4" s="4" t="n">
        <v>0.346146174107648</v>
      </c>
      <c r="J4" s="3" t="n">
        <v>3273827.5</v>
      </c>
    </row>
    <row r="5" customFormat="false" ht="15" hidden="false" customHeight="false" outlineLevel="0" collapsed="false">
      <c r="A5" s="7" t="s">
        <v>14</v>
      </c>
      <c r="D5" s="3" t="n">
        <f aca="false">SUM(D4)</f>
        <v>2432000</v>
      </c>
      <c r="F5" s="3" t="n">
        <f aca="false">SUM(F4)</f>
        <v>-37045.75</v>
      </c>
      <c r="H5" s="3" t="n">
        <f aca="false">SUM(H4)</f>
        <v>841827.4954298</v>
      </c>
      <c r="I5" s="4" t="n">
        <f aca="false">IF(D5&gt;0,H5/D5,0)</f>
        <v>0.346146174107648</v>
      </c>
      <c r="J5" s="3" t="n">
        <f aca="false">SUM(J4)</f>
        <v>3273827.5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6" t="s">
        <v>71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2</v>
      </c>
      <c r="E3" s="2" t="s">
        <v>19</v>
      </c>
      <c r="F3" s="2" t="s">
        <v>20</v>
      </c>
      <c r="G3" s="2" t="s">
        <v>21</v>
      </c>
      <c r="H3" s="2" t="s">
        <v>4</v>
      </c>
      <c r="I3" s="2" t="s">
        <v>5</v>
      </c>
      <c r="J3" s="2" t="s">
        <v>3</v>
      </c>
    </row>
    <row r="4" customFormat="false" ht="15" hidden="false" customHeight="false" outlineLevel="0" collapsed="false">
      <c r="A4" s="0" t="s">
        <v>72</v>
      </c>
      <c r="B4" s="0" t="n">
        <v>57160.934</v>
      </c>
      <c r="C4" s="3" t="n">
        <v>15.11</v>
      </c>
      <c r="D4" s="3" t="n">
        <v>863522.66</v>
      </c>
      <c r="E4" s="3" t="n">
        <v>17.6214</v>
      </c>
      <c r="F4" s="3" t="n">
        <v>-24476.31</v>
      </c>
      <c r="G4" s="4" t="n">
        <v>-0.0237235155840789</v>
      </c>
      <c r="H4" s="3" t="n">
        <v>143733.0223876</v>
      </c>
      <c r="I4" s="4" t="n">
        <v>0.166449624364924</v>
      </c>
      <c r="J4" s="3" t="n">
        <v>1007255.68</v>
      </c>
    </row>
    <row r="5" customFormat="false" ht="15" hidden="false" customHeight="false" outlineLevel="0" collapsed="false">
      <c r="A5" s="7" t="s">
        <v>14</v>
      </c>
      <c r="D5" s="3" t="n">
        <f aca="false">SUM(D4)</f>
        <v>863522.66</v>
      </c>
      <c r="F5" s="3" t="n">
        <f aca="false">SUM(F4)</f>
        <v>-24476.31</v>
      </c>
      <c r="H5" s="3" t="n">
        <f aca="false">SUM(H4)</f>
        <v>143733.0223876</v>
      </c>
      <c r="I5" s="4" t="n">
        <f aca="false">IF(D5&gt;0,H5/D5,0)</f>
        <v>0.166449624364924</v>
      </c>
      <c r="J5" s="3" t="n">
        <f aca="false">SUM(J4)</f>
        <v>1007255.68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2026-01-21T04:21:22Z</dcterms:created>
  <dc:creator>openpyxl</dc:creator>
  <dc:description/>
  <dc:language>en-US</dc:language>
  <cp:lastModifiedBy/>
  <dcterms:modified xsi:type="dcterms:W3CDTF">2026-01-21T04:21:22Z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